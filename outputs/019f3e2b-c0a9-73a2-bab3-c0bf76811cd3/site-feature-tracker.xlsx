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2a23e331d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8089f66c7549d4"/>
    <x:sheet xmlns:r="http://schemas.openxmlformats.org/officeDocument/2006/relationships" name="Features" sheetId="2" r:id="Rb6f642b05bec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</x:fills>
  <x:borders count="17">
    <x:border/>
    <x:border>
      <x:left style="medium">
        <x:color rgb="FF90A4B8"/>
      </x:left>
      <x:right style="thin">
        <x:color rgb="FFD7DEE8"/>
      </x:right>
      <x:top style="medium">
        <x:color rgb="FF90A4B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medium">
        <x:color rgb="FF90A4B8"/>
      </x:top>
      <x:bottom style="thin">
        <x:color rgb="FFD7DEE8"/>
      </x:bottom>
    </x:border>
    <x:border>
      <x:left style="thin">
        <x:color rgb="FFD7DEE8"/>
      </x:left>
      <x:right style="medium">
        <x:color rgb="FF90A4B8"/>
      </x:right>
      <x:top style="medium">
        <x:color rgb="FF90A4B8"/>
      </x:top>
      <x:bottom style="thin">
        <x:color rgb="FFD7DEE8"/>
      </x:bottom>
    </x:border>
    <x:border>
      <x:left style="medium">
        <x:color rgb="FF90A4B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medium">
        <x:color rgb="FF90A4B8"/>
      </x:right>
      <x:top style="thin">
        <x:color rgb="FFD7DEE8"/>
      </x:top>
      <x:bottom style="thin">
        <x:color rgb="FFD7DEE8"/>
      </x:bottom>
    </x:border>
    <x:border>
      <x:left style="medium">
        <x:color rgb="FF90A4B8"/>
      </x:left>
      <x:right style="thin">
        <x:color rgb="FFD7DEE8"/>
      </x:right>
      <x:top style="thin">
        <x:color rgb="FFD7DEE8"/>
      </x:top>
      <x:bottom style="medium">
        <x:color rgb="FF90A4B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medium">
        <x:color rgb="FF90A4B8"/>
      </x:bottom>
    </x:border>
    <x:border>
      <x:left style="thin">
        <x:color rgb="FFD7DEE8"/>
      </x:left>
      <x:right style="medium">
        <x:color rgb="FF90A4B8"/>
      </x:right>
      <x:top style="thin">
        <x:color rgb="FFD7DEE8"/>
      </x:top>
      <x:bottom style="medium">
        <x:color rgb="FF90A4B8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10" xfId="0" applyNumberFormat="1" applyFont="1" applyFill="1" applyBorder="1"/>
    <x:xf numFmtId="0" fontId="0" fillId="3" borderId="11" xfId="0" applyNumberFormat="1" applyFont="1" applyFill="1" applyBorder="1"/>
    <x:xf numFmtId="0" fontId="3" fillId="3" borderId="12" xfId="0" applyNumberFormat="1" applyFont="1" applyFill="1" applyBorder="1"/>
    <x:xf numFmtId="0" fontId="0" fillId="3" borderId="13" xfId="0" applyNumberFormat="1" applyFont="1" applyFill="1" applyBorder="1"/>
    <x:xf numFmtId="0" fontId="3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0" borderId="14" xfId="0" applyNumberFormat="1" applyFont="1" applyFill="1" applyBorder="1"/>
    <x:xf numFmtId="0" fontId="0" fillId="0" borderId="15" xfId="0" applyNumberFormat="1" applyFont="1" applyFill="1" applyBorder="1"/>
    <x:xf numFmtId="0" fontId="3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horizontal="center"/>
    </x:xf>
    <x:xf numFmtId="0" fontId="0" fillId="3" borderId="16" xfId="0" applyNumberFormat="1" applyFont="1" applyFill="1" applyBorder="1"/>
    <x:xf numFmtId="0" fontId="0" fillId="0" borderId="16" xfId="0" applyNumberFormat="1" applyFont="1" applyFill="1" applyBorder="1"/>
    <x:xf numFmtId="0" fontId="3" fillId="4" borderId="16" xfId="0" applyNumberFormat="1" applyFont="1" applyFill="1" applyBorder="1" applyAlignment="1">
      <x:alignment horizontal="center" wrapText="1"/>
    </x:xf>
    <x:xf numFmtId="0" fontId="0" fillId="3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572829b724db1" /><Relationship Type="http://schemas.openxmlformats.org/officeDocument/2006/relationships/theme" Target="/xl/theme/theme1.xml" Id="R75cab610a14144ae" /><Relationship Type="http://schemas.openxmlformats.org/officeDocument/2006/relationships/sharedStrings" Target="/xl/sharedStrings.xml" Id="R0f081784e65f4124" /><Relationship Type="http://schemas.openxmlformats.org/officeDocument/2006/relationships/worksheet" Target="/xl/worksheets/sheet1.xml" Id="R688089f66c7549d4" /><Relationship Type="http://schemas.openxmlformats.org/officeDocument/2006/relationships/worksheet" Target="/xl/worksheets/sheet2.xml" Id="Rb6f642b05bec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  <x:col min="4" max="4" width="20" hidden="0" customWidth="1"/>
    <x:col min="5" max="5" width="12" hidden="0" customWidth="1"/>
  </x:cols>
  <x:sheetData>
    <x:row r="1">
      <x:c r="A1" s="19" t="str">
        <x:v>Site Feature Audit Tracker</x:v>
      </x:c>
      <x:c r="B1" s="19"/>
      <x:c r="C1" s="19"/>
      <x:c r="D1" s="19"/>
      <x:c r="E1" s="19"/>
      <x:c r="F1" s="19"/>
    </x:row>
    <x:row r="2">
      <x:c r="A2" s="31" t="str">
        <x:v>Goal</x:v>
      </x:c>
      <x:c r="B2" s="32" t="str">
        <x:v>Inventory site features, test each user story, document defects, fix logistical and UX issues, then retest.</x:v>
      </x:c>
      <x:c r="C2" s="20"/>
      <x:c r="D2" s="45" t="str">
        <x:v>Status</x:v>
      </x:c>
      <x:c r="E2" s="45" t="str">
        <x:v>Count</x:v>
      </x:c>
      <x:c r="F2" s="20"/>
    </x:row>
    <x:row r="3">
      <x:c r="A3" s="33" t="str">
        <x:v>Feature Rows</x:v>
      </x:c>
      <x:c r="B3" s="34" t="n">
        <x:v>23</x:v>
      </x:c>
      <x:c r="C3" s="20"/>
      <x:c r="D3" s="46" t="str">
        <x:v>Not Tested</x:v>
      </x:c>
      <x:c r="E3" s="46" t="n">
        <x:f>COUNTIF(Features!$G$2:$G$24,"Not Tested")</x:f>
        <x:v>0</x:v>
      </x:c>
      <x:c r="F3" s="20"/>
    </x:row>
    <x:row r="4">
      <x:c r="A4" s="33" t="str">
        <x:v>Generated From</x:v>
      </x:c>
      <x:c r="B4" s="34" t="str">
        <x:v>work/goals/site-feature-audit/feature_tracker_data.json</x:v>
      </x:c>
      <x:c r="C4" s="20"/>
      <x:c r="D4" s="46" t="str">
        <x:v>Pass</x:v>
      </x:c>
      <x:c r="E4" s="46" t="n">
        <x:f>COUNTIF(Features!$G$2:$G$24,"Pass")</x:f>
        <x:v>23</x:v>
      </x:c>
      <x:c r="F4" s="20"/>
    </x:row>
    <x:row r="5">
      <x:c r="A5" s="35" t="str">
        <x:v>Generated Workbook</x:v>
      </x:c>
      <x:c r="B5" s="36" t="str">
        <x:v>/Users/breno/Documents/code/SITES/brenorb.github.io/outputs/019f3e2b-c0a9-73a2-bab3-c0bf76811cd3/site-feature-tracker.xlsx</x:v>
      </x:c>
      <x:c r="D5" s="47" t="str">
        <x:v>Fail</x:v>
      </x:c>
      <x:c r="E5" s="47" t="n">
        <x:f>COUNTIF(Features!$G$2:$G$24,"Fail")</x:f>
        <x:v>0</x:v>
      </x:c>
    </x:row>
    <x:row r="6">
      <x:c r="A6" s="35" t="str">
        <x:v>Last Refresh</x:v>
      </x:c>
      <x:c r="B6" s="36" t="str">
        <x:v>2026-07-07 20:23:29 UTC</x:v>
      </x:c>
      <x:c r="D6" s="47" t="str">
        <x:v>Blocked</x:v>
      </x:c>
      <x:c r="E6" s="47" t="n">
        <x:f>COUNTIF(Features!$G$2:$G$24,"Blocked")</x:f>
        <x:v>0</x:v>
      </x:c>
    </x:row>
    <x:row r="7">
      <x:c r="A7" s="37" t="str">
        <x:v>Notes</x:v>
      </x:c>
      <x:c r="B7" s="38" t="str">
        <x:v>Use the Features sheet as the working audit matrix.</x:v>
      </x:c>
      <x:c r="D7" s="47" t="str">
        <x:v>Pending Fix</x:v>
      </x:c>
      <x:c r="E7" s="47" t="n">
        <x:f>COUNTIF(Features!$J$2:$J$24,"Pending")</x:f>
        <x:v>0</x:v>
      </x:c>
    </x:row>
    <x:row r="8">
      <x:c r="D8" s="47" t="str">
        <x:v>Fixed</x:v>
      </x:c>
      <x:c r="E8" s="47" t="n">
        <x:f>COUNTIF(Features!$J$2:$J$24,"Fixed")</x:f>
        <x:v>2</x:v>
      </x:c>
    </x:row>
    <x:row r="9">
      <x:c r="D9" s="47" t="str">
        <x:v>Not Retested</x:v>
      </x:c>
      <x:c r="E9" s="47" t="n">
        <x:f>COUNTIF(Features!$L$2:$L$24,"Not Retested")</x:f>
        <x:v>0</x:v>
      </x:c>
    </x:row>
    <x:row r="10">
      <x:c r="D10" s="47" t="str">
        <x:v>Retest Pass</x:v>
      </x:c>
      <x:c r="E10" s="47" t="n">
        <x:f>COUNTIF(Features!$L$2:$L$24,"Pass")</x:f>
        <x:v>23</x:v>
      </x:c>
    </x:row>
    <x:row r="12">
      <x:c r="D12" s="48" t="str">
        <x:v>Value</x:v>
      </x:c>
      <x:c r="E12" s="49" t="str">
        <x:v>Meaning</x:v>
      </x:c>
    </x:row>
    <x:row r="13">
      <x:c r="D13" s="44" t="str">
        <x:v>Pass</x:v>
      </x:c>
      <x:c r="E13" s="47" t="str">
        <x:v>Expected behavior matched the code and smoke test.</x:v>
      </x:c>
    </x:row>
    <x:row r="14">
      <x:c r="D14" s="44" t="str">
        <x:v>Fail</x:v>
      </x:c>
      <x:c r="E14" s="47" t="str">
        <x:v>Observed behavior diverged and needs a fix or a decision.</x:v>
      </x:c>
    </x:row>
    <x:row r="15">
      <x:c r="D15" s="44" t="str">
        <x:v>Blocked</x:v>
      </x:c>
      <x:c r="E15" s="47" t="str">
        <x:v>Could not test end-to-end without an external action or missing runtime.</x:v>
      </x:c>
    </x:row>
    <x:row r="16">
      <x:c r="D16" s="44" t="str">
        <x:v>Pending</x:v>
      </x:c>
      <x:c r="E16" s="47" t="str">
        <x:v>Issue confirmed and waiting on a code change.</x:v>
      </x:c>
    </x:row>
    <x:row r="17">
      <x:c r="D17" s="44" t="str">
        <x:v>Fixed</x:v>
      </x:c>
      <x:c r="E17" s="47" t="str">
        <x:v>Code change landed and needs or passed retest.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42" hidden="0" customWidth="1"/>
    <x:col min="5" max="5" width="48" hidden="0" customWidth="1"/>
    <x:col min="6" max="6" width="32" hidden="0" customWidth="1"/>
    <x:col min="7" max="7" width="15" hidden="0" customWidth="1"/>
    <x:col min="8" max="8" width="34" hidden="0" customWidth="1"/>
    <x:col min="9" max="9" width="12" hidden="0" customWidth="1"/>
    <x:col min="10" max="10" width="16" hidden="0" customWidth="1"/>
    <x:col min="11" max="11" width="18" hidden="0" customWidth="1"/>
    <x:col min="12" max="12" width="16" hidden="0" customWidth="1"/>
    <x:col min="13" max="13" width="32" hidden="0" customWidth="1"/>
  </x:cols>
  <x:sheetData>
    <x:row r="1" ht="28" customHeight="1">
      <x:c r="A1" s="8" t="str">
        <x:v>Feature ID</x:v>
      </x:c>
      <x:c r="B1" s="9" t="str">
        <x:v>Area</x:v>
      </x:c>
      <x:c r="C1" s="9" t="str">
        <x:v>Example Route</x:v>
      </x:c>
      <x:c r="D1" s="9" t="str">
        <x:v>User Story</x:v>
      </x:c>
      <x:c r="E1" s="9" t="str">
        <x:v>Expected Behavior</x:v>
      </x:c>
      <x:c r="F1" s="9" t="str">
        <x:v>Source Files</x:v>
      </x:c>
      <x:c r="G1" s="9" t="str">
        <x:v>Test Status</x:v>
      </x:c>
      <x:c r="H1" s="9" t="str">
        <x:v>Issue Summary</x:v>
      </x:c>
      <x:c r="I1" s="9" t="str">
        <x:v>Severity</x:v>
      </x:c>
      <x:c r="J1" s="9" t="str">
        <x:v>Fix Status</x:v>
      </x:c>
      <x:c r="K1" s="9" t="str">
        <x:v>Fix Commit</x:v>
      </x:c>
      <x:c r="L1" s="9" t="str">
        <x:v>Retest Status</x:v>
      </x:c>
      <x:c r="M1" s="10" t="str">
        <x:v>Notes</x:v>
      </x:c>
    </x:row>
    <x:row r="2">
      <x:c r="A2" s="11" t="str">
        <x:v>F-001</x:v>
      </x:c>
      <x:c r="B2" s="12" t="str">
        <x:v>Home</x:v>
      </x:c>
      <x:c r="C2" s="12" t="str">
        <x:v>/</x:v>
      </x:c>
      <x:c r="D2" s="12" t="str">
        <x:v>As a first-time visitor, I can land on the homepage and immediately understand who Breno is and where to go next.</x:v>
      </x:c>
      <x:c r="E2" s="12" t="str">
        <x:v>The home layout renders logo, site title, short bio, social buttons, and primary CTA buttons to About, Writing, Talks &amp; Media, Projects, and Contact.</x:v>
      </x:c>
      <x:c r="F2" s="12" t="str">
        <x:v>_layouts/home.html; _includes/social-links.html; _config.yml</x:v>
      </x:c>
      <x:c r="G2" s="12" t="str">
        <x:v>Pass</x:v>
      </x:c>
      <x:c r="H2" s="12" t="str"/>
      <x:c r="I2" s="12" t="str"/>
      <x:c r="J2" s="12" t="str">
        <x:v>Not Needed</x:v>
      </x:c>
      <x:c r="K2" s="12" t="str"/>
      <x:c r="L2" s="12" t="str">
        <x:v>Pass</x:v>
      </x:c>
      <x:c r="M2" s="13" t="str">
        <x:v>Home hero, CTA buttons, and social presentation matched the layout.</x:v>
      </x:c>
    </x:row>
    <x:row r="3">
      <x:c r="A3" s="11" t="str">
        <x:v>F-002</x:v>
      </x:c>
      <x:c r="B3" s="12" t="str">
        <x:v>Global Navigation</x:v>
      </x:c>
      <x:c r="C3" s="12" t="str">
        <x:v>/about/</x:v>
      </x:c>
      <x:c r="D3" s="12" t="str">
        <x:v>As a visitor on any page, I can open the menu and reach the main sections, profile info, and public social links.</x:v>
      </x:c>
      <x:c r="E3" s="12" t="str">
        <x:v>The hamburger menu opens a nested About submenu with profile details and enabled social links, plus links for Home, Writing, Projects, Talks &amp; Media, Contact, and Tags.</x:v>
      </x:c>
      <x:c r="F3" s="12" t="str">
        <x:v>_includes/nav.html; _data/navigation.yml; assets/js/scripts.js</x:v>
      </x:c>
      <x:c r="G3" s="12" t="str">
        <x:v>Pass</x:v>
      </x:c>
      <x:c r="H3" s="12" t="str"/>
      <x:c r="I3" s="12" t="str"/>
      <x:c r="J3" s="12" t="str">
        <x:v>Not Needed</x:v>
      </x:c>
      <x:c r="K3" s="12" t="str"/>
      <x:c r="L3" s="12" t="str">
        <x:v>Pass</x:v>
      </x:c>
      <x:c r="M3" s="13" t="str">
        <x:v>Menu links rendered correctly from nav plus navigation data.</x:v>
      </x:c>
    </x:row>
    <x:row r="4">
      <x:c r="A4" s="11" t="str">
        <x:v>F-003</x:v>
      </x:c>
      <x:c r="B4" s="12" t="str">
        <x:v>About Page</x:v>
      </x:c>
      <x:c r="C4" s="12" t="str">
        <x:v>/about/</x:v>
      </x:c>
      <x:c r="D4" s="12" t="str">
        <x:v>As a visitor, I can read a concise biography and jump from the About page into the site's key sections.</x:v>
      </x:c>
      <x:c r="E4" s="12" t="str">
        <x:v>The About page renders biography copy and CTA buttons for Projects, Writing, Talks &amp; Media, Tags, and Contact.</x:v>
      </x:c>
      <x:c r="F4" s="12" t="str">
        <x:v>about/index.md; _layouts/page.html</x:v>
      </x:c>
      <x:c r="G4" s="12" t="str">
        <x:v>Pass</x:v>
      </x:c>
      <x:c r="H4" s="12" t="str"/>
      <x:c r="I4" s="12" t="str"/>
      <x:c r="J4" s="12" t="str">
        <x:v>Not Needed</x:v>
      </x:c>
      <x:c r="K4" s="12" t="str"/>
      <x:c r="L4" s="12" t="str">
        <x:v>Pass</x:v>
      </x:c>
      <x:c r="M4" s="13" t="str">
        <x:v>About page biography and CTA buttons rendered as expected.</x:v>
      </x:c>
    </x:row>
    <x:row r="5">
      <x:c r="A5" s="11" t="str">
        <x:v>F-004</x:v>
      </x:c>
      <x:c r="B5" s="12" t="str">
        <x:v>Writing Archive</x:v>
      </x:c>
      <x:c r="C5" s="12" t="str">
        <x:v>/articles/</x:v>
      </x:c>
      <x:c r="D5" s="12" t="str">
        <x:v>As a reader, I can browse the writing archive and open article posts from a dedicated listing page.</x:v>
      </x:c>
      <x:c r="E5" s="12" t="str">
        <x:v>The Writing archive lists only posts whose effective content type is article, with title, excerpt, and Read More button for each item.</x:v>
      </x:c>
      <x:c r="F5" s="12" t="str">
        <x:v>articles/index.md; _layouts/post-list.html; _config.yml</x:v>
      </x:c>
      <x:c r="G5" s="12" t="str">
        <x:v>Pass</x:v>
      </x:c>
      <x:c r="H5" s="12" t="str"/>
      <x:c r="I5" s="12" t="str"/>
      <x:c r="J5" s="12" t="str">
        <x:v>Not Needed</x:v>
      </x:c>
      <x:c r="K5" s="12" t="str"/>
      <x:c r="L5" s="12" t="str">
        <x:v>Pass</x:v>
      </x:c>
      <x:c r="M5" s="13" t="str">
        <x:v>Writing archive rendered 11 article entries with excerpts and buttons.</x:v>
      </x:c>
    </x:row>
    <x:row r="6">
      <x:c r="A6" s="11" t="str">
        <x:v>F-005</x:v>
      </x:c>
      <x:c r="B6" s="12" t="str">
        <x:v>Media Archive</x:v>
      </x:c>
      <x:c r="C6" s="12" t="str">
        <x:v>/media/</x:v>
      </x:c>
      <x:c r="D6" s="12" t="str">
        <x:v>As a visitor, I can browse talks, podcasts, interviews, and press mentions from one archive.</x:v>
      </x:c>
      <x:c r="E6" s="12" t="str">
        <x:v>The Talks &amp; Media archive lists only posts with content_type media, with title, excerpt, and Read More button for each item.</x:v>
      </x:c>
      <x:c r="F6" s="12" t="str">
        <x:v>media/index.md; _layouts/post-list.html</x:v>
      </x:c>
      <x:c r="G6" s="12" t="str">
        <x:v>Pass</x:v>
      </x:c>
      <x:c r="H6" s="12" t="str"/>
      <x:c r="I6" s="12" t="str"/>
      <x:c r="J6" s="12" t="str">
        <x:v>Not Needed</x:v>
      </x:c>
      <x:c r="K6" s="12" t="str"/>
      <x:c r="L6" s="12" t="str">
        <x:v>Pass</x:v>
      </x:c>
      <x:c r="M6" s="13" t="str">
        <x:v>Media archive rendered 39 media entries.</x:v>
      </x:c>
    </x:row>
    <x:row r="7">
      <x:c r="A7" s="11" t="str">
        <x:v>F-006</x:v>
      </x:c>
      <x:c r="B7" s="12" t="str">
        <x:v>Projects Archive</x:v>
      </x:c>
      <x:c r="C7" s="12" t="str">
        <x:v>/projects/</x:v>
      </x:c>
      <x:c r="D7" s="12" t="str">
        <x:v>As a visitor, I can browse Breno's projects from a dedicated archive page.</x:v>
      </x:c>
      <x:c r="E7" s="12" t="str">
        <x:v>The Projects archive lists only posts with content_type project, with title, excerpt, and Read More button for each item.</x:v>
      </x:c>
      <x:c r="F7" s="12" t="str">
        <x:v>projects/index.md; _layouts/post-list.html</x:v>
      </x:c>
      <x:c r="G7" s="12" t="str">
        <x:v>Pass</x:v>
      </x:c>
      <x:c r="H7" s="12" t="str"/>
      <x:c r="I7" s="12" t="str"/>
      <x:c r="J7" s="12" t="str">
        <x:v>Not Needed</x:v>
      </x:c>
      <x:c r="K7" s="12" t="str"/>
      <x:c r="L7" s="12" t="str">
        <x:v>Pass</x:v>
      </x:c>
      <x:c r="M7" s="13" t="str">
        <x:v>Projects archive rendered 23 project entries.</x:v>
      </x:c>
    </x:row>
    <x:row r="8">
      <x:c r="A8" s="11" t="str">
        <x:v>F-007</x:v>
      </x:c>
      <x:c r="B8" s="12" t="str">
        <x:v>Legacy Redirects</x:v>
      </x:c>
      <x:c r="C8" s="12" t="str">
        <x:v>/posts/; /interviews/</x:v>
      </x:c>
      <x:c r="D8" s="12" t="str">
        <x:v>As a visitor using an old link, I am redirected to the current archive instead of hitting a dead end.</x:v>
      </x:c>
      <x:c r="E8" s="12" t="str">
        <x:v>Legacy archive aliases render noindex canonical pages that immediately refresh to their current destinations: /posts/ -&gt; /articles/ and /interviews/ -&gt; /media/.</x:v>
      </x:c>
      <x:c r="F8" s="12" t="str">
        <x:v>posts/index.md; interviews/index.md; _includes/head.html</x:v>
      </x:c>
      <x:c r="G8" s="12" t="str">
        <x:v>Pass</x:v>
      </x:c>
      <x:c r="H8" s="12" t="str"/>
      <x:c r="I8" s="12" t="str"/>
      <x:c r="J8" s="12" t="str">
        <x:v>Not Needed</x:v>
      </x:c>
      <x:c r="K8" s="12" t="str"/>
      <x:c r="L8" s="12" t="str">
        <x:v>Pass</x:v>
      </x:c>
      <x:c r="M8" s="13" t="str">
        <x:v>Legacy aliases redirected to canonical archive URLs in browser.</x:v>
      </x:c>
    </x:row>
    <x:row r="9">
      <x:c r="A9" s="11" t="str">
        <x:v>F-008</x:v>
      </x:c>
      <x:c r="B9" s="12" t="str">
        <x:v>Tag Archive</x:v>
      </x:c>
      <x:c r="C9" s="12" t="str">
        <x:v>/tags/</x:v>
      </x:c>
      <x:c r="D9" s="12" t="str">
        <x:v>As a reader, I can browse content by tag and jump directly to the posts under each tag.</x:v>
      </x:c>
      <x:c r="E9" s="12" t="str">
        <x:v>The Tag Archive lists all tags with counts, creates anchor sections for each tag, and tag links in post metadata point to the matching section anchor.</x:v>
      </x:c>
      <x:c r="F9" s="12" t="str">
        <x:v>tags/index.html; _includes/meta.html</x:v>
      </x:c>
      <x:c r="G9" s="12" t="str">
        <x:v>Pass</x:v>
      </x:c>
      <x:c r="H9" s="12" t="str"/>
      <x:c r="I9" s="12" t="str"/>
      <x:c r="J9" s="12" t="str">
        <x:v>Not Needed</x:v>
      </x:c>
      <x:c r="K9" s="12" t="str"/>
      <x:c r="L9" s="12" t="str">
        <x:v>Pass</x:v>
      </x:c>
      <x:c r="M9" s="13" t="str">
        <x:v>Tags archive rendered 88 tag anchors and post lists.</x:v>
      </x:c>
    </x:row>
    <x:row r="10">
      <x:c r="A10" s="11" t="str">
        <x:v>F-009</x:v>
      </x:c>
      <x:c r="B10" s="12" t="str">
        <x:v>Post Template</x:v>
      </x:c>
      <x:c r="C10" s="12" t="str">
        <x:v>/ftx-guilt-fear/</x:v>
      </x:c>
      <x:c r="D10" s="12" t="str">
        <x:v>As a reader, I can open an article, project, or media post and get consistent framing around the content.</x:v>
      </x:c>
      <x:c r="E10" s="12" t="str">
        <x:v>The post layout renders title, date, reading time, archive-aware back button, markdown body, tags, and a tweet-share link; comments appear only when enabled.</x:v>
      </x:c>
      <x:c r="F10" s="12" t="str">
        <x:v>_layouts/post.html; _includes/read-time.html; _includes/meta.html; _includes/disqus_comments.html</x:v>
      </x:c>
      <x:c r="G10" s="12" t="str">
        <x:v>Pass</x:v>
      </x:c>
      <x:c r="H10" s="12" t="str"/>
      <x:c r="I10" s="12" t="str"/>
      <x:c r="J10" s="12" t="str">
        <x:v>Not Needed</x:v>
      </x:c>
      <x:c r="K10" s="12" t="str"/>
      <x:c r="L10" s="12" t="str">
        <x:v>Pass</x:v>
      </x:c>
      <x:c r="M10" s="13" t="str">
        <x:v>Post template showed title, date, reading time, back button, tags, and tweet link.</x:v>
      </x:c>
    </x:row>
    <x:row r="11">
      <x:c r="A11" s="11" t="str">
        <x:v>F-010</x:v>
      </x:c>
      <x:c r="B11" s="12" t="str">
        <x:v>Responsive Media Embeds</x:v>
      </x:c>
      <x:c r="C11" s="12" t="str">
        <x:v>/podcast-bipa-cast-22-101-perguntas-sobre-bitcoin/</x:v>
      </x:c>
      <x:c r="D11" s="12" t="str">
        <x:v>As a visitor on a media page, I can view embedded players without the layout breaking on desktop or mobile.</x:v>
      </x:c>
      <x:c r="E11" s="12" t="str">
        <x:v>Embedded iframes and videos render inside the content column, resize responsively, and the first media node gains a stable media-player anchor target.</x:v>
      </x:c>
      <x:c r="F11" s="12" t="str">
        <x:v>assets/js/scripts.js; _layouts/post.html</x:v>
      </x:c>
      <x:c r="G11" s="12" t="str">
        <x:v>Pass</x:v>
      </x:c>
      <x:c r="H11" s="12" t="str"/>
      <x:c r="I11" s="12" t="str"/>
      <x:c r="J11" s="12" t="str">
        <x:v>Not Needed</x:v>
      </x:c>
      <x:c r="K11" s="12" t="str"/>
      <x:c r="L11" s="12" t="str">
        <x:v>Pass</x:v>
      </x:c>
      <x:c r="M11" s="13" t="str">
        <x:v>Responsive YouTube media page rendered and received media-player anchor.</x:v>
      </x:c>
    </x:row>
    <x:row r="12">
      <x:c r="A12" s="11" t="str">
        <x:v>F-011</x:v>
      </x:c>
      <x:c r="B12" s="12" t="str">
        <x:v>Media Chapters</x:v>
      </x:c>
      <x:c r="C12" s="12" t="str">
        <x:v>/podcast-bipa-cast-22-101-perguntas-sobre-bitcoin/</x:v>
      </x:c>
      <x:c r="D12" s="12" t="str">
        <x:v>As a media consumer, I can skim a chapter list and jump the player to the relevant timestamp.</x:v>
      </x:c>
      <x:c r="E12" s="12" t="str">
        <x:v>Generated media chapter blocks render topical timestamps; clicking a timestamp seeks an embedded YouTube player or HTML5 video when supported and scrolls the player into view, otherwise the fallback anchor still points to the player block.</x:v>
      </x:c>
      <x:c r="F12" s="12" t="str">
        <x:v>assets/js/scripts.js; _includes/generated/*.html</x:v>
      </x:c>
      <x:c r="G12" s="12" t="str">
        <x:v>Pass</x:v>
      </x:c>
      <x:c r="H12" s="12" t="str">
        <x:v>Quant Finance initially embedded a YouTube watch URL inside an iframe, which prevented chapter clicks from seeking the player. The page now uses an embed URL.</x:v>
      </x:c>
      <x:c r="I12" s="12" t="str">
        <x:v>Medium</x:v>
      </x:c>
      <x:c r="J12" s="12" t="str">
        <x:v>Fixed</x:v>
      </x:c>
      <x:c r="K12" s="12" t="str">
        <x:v>61b638c</x:v>
      </x:c>
      <x:c r="L12" s="12" t="str">
        <x:v>Pass</x:v>
      </x:c>
      <x:c r="M12" s="13" t="str">
        <x:v>Retest confirmed chapter click rewrites the iframe src with start and autoplay params on /quant-finance-investimento/.</x:v>
      </x:c>
    </x:row>
    <x:row r="13">
      <x:c r="A13" s="11" t="str">
        <x:v>F-012</x:v>
      </x:c>
      <x:c r="B13" s="12" t="str">
        <x:v>Transcript Appendix</x:v>
      </x:c>
      <x:c r="C13" s="12" t="str">
        <x:v>/podcast-bipa-cast-22-101-perguntas-sobre-bitcoin/</x:v>
      </x:c>
      <x:c r="D13" s="12" t="str">
        <x:v>As a visitor on a transcript-backed media page, I can read a structured transcript without leaving the post.</x:v>
      </x:c>
      <x:c r="E13" s="12" t="str">
        <x:v>When transcript appendix data exists, the post renders collapsible transcript sections with source, timestamps, and optional speaker labels; if the transcript starts far below the fold, a transcript jump note appears near the player.</x:v>
      </x:c>
      <x:c r="F13" s="12" t="str">
        <x:v>_layouts/post.html; assets/js/scripts.js</x:v>
      </x:c>
      <x:c r="G13" s="12" t="str">
        <x:v>Pass</x:v>
      </x:c>
      <x:c r="H13" s="12" t="str"/>
      <x:c r="I13" s="12" t="str"/>
      <x:c r="J13" s="12" t="str">
        <x:v>Not Needed</x:v>
      </x:c>
      <x:c r="K13" s="12" t="str"/>
      <x:c r="L13" s="12" t="str">
        <x:v>Pass</x:v>
      </x:c>
      <x:c r="M13" s="13" t="str">
        <x:v>Transcript section and transcript jump note both rendered on tested media page.</x:v>
      </x:c>
    </x:row>
    <x:row r="14">
      <x:c r="A14" s="11" t="str">
        <x:v>F-013</x:v>
      </x:c>
      <x:c r="B14" s="12" t="str">
        <x:v>HTML5 Video Seeking</x:v>
      </x:c>
      <x:c r="C14" s="12" t="str">
        <x:v>/podcast-stealth-fountain/</x:v>
      </x:c>
      <x:c r="D14" s="12" t="str">
        <x:v>As a visitor on a media page that uses a native video element, I can use chapter timestamps to seek the local player.</x:v>
      </x:c>
      <x:c r="E14" s="12" t="str">
        <x:v>When the first media node is an HTML5 video, chapter clicks update currentTime, trigger playback if possible, and preserve the same anchor-based navigation affordance.</x:v>
      </x:c>
      <x:c r="F14" s="12" t="str">
        <x:v>assets/js/scripts.js; _posts/2026-04-08-podcast-stealth-fountain.md</x:v>
      </x:c>
      <x:c r="G14" s="12" t="str">
        <x:v>Pass</x:v>
      </x:c>
      <x:c r="H14" s="12" t="str"/>
      <x:c r="I14" s="12" t="str"/>
      <x:c r="J14" s="12" t="str">
        <x:v>Not Needed</x:v>
      </x:c>
      <x:c r="K14" s="12" t="str"/>
      <x:c r="L14" s="12" t="str">
        <x:v>Pass</x:v>
      </x:c>
      <x:c r="M14" s="13" t="str">
        <x:v>HTML5 video chapter click updated video currentTime to the selected timestamp.</x:v>
      </x:c>
    </x:row>
    <x:row r="15">
      <x:c r="A15" s="11" t="str">
        <x:v>F-014</x:v>
      </x:c>
      <x:c r="B15" s="12" t="str">
        <x:v>Project Rich Content</x:v>
      </x:c>
      <x:c r="C15" s="12" t="str">
        <x:v>/granola/</x:v>
      </x:c>
      <x:c r="D15" s="12" t="str">
        <x:v>As a visitor on a project page, I can read richer content blocks like diagrams, media, linked documents, and outbound project resources.</x:v>
      </x:c>
      <x:c r="E15" s="12" t="str">
        <x:v>Project posts can render buttons, images, embedded media, PDF links, and Mermaid diagrams when mermaid: true is present.</x:v>
      </x:c>
      <x:c r="F15" s="12" t="str">
        <x:v>_posts/2024-11-06-granola-cashu-based-exchange.md; _includes/scripts.html; _layouts/post.html</x:v>
      </x:c>
      <x:c r="G15" s="12" t="str">
        <x:v>Pass</x:v>
      </x:c>
      <x:c r="H15" s="12" t="str"/>
      <x:c r="I15" s="12" t="str"/>
      <x:c r="J15" s="12" t="str">
        <x:v>Not Needed</x:v>
      </x:c>
      <x:c r="K15" s="12" t="str"/>
      <x:c r="L15" s="12" t="str">
        <x:v>Pass</x:v>
      </x:c>
      <x:c r="M15" s="13" t="str">
        <x:v>Granola project rendered iframe, linked PDF/resources, image, and Mermaid SVG.</x:v>
      </x:c>
    </x:row>
    <x:row r="16">
      <x:c r="A16" s="11" t="str">
        <x:v>F-015</x:v>
      </x:c>
      <x:c r="B16" s="12" t="str">
        <x:v>Contact Flow</x:v>
      </x:c>
      <x:c r="C16" s="12" t="str">
        <x:v>/contact/; /contact-success/</x:v>
      </x:c>
      <x:c r="D16" s="12" t="str">
        <x:v>As a visitor who wants to reach out, I can fill out a contact form and land on a success page after submission.</x:v>
      </x:c>
      <x:c r="E16" s="12" t="str">
        <x:v>The contact page renders required email, name, and message fields, a hidden honeypot field, a Formspree POST action, and a success redirect target to /contact-success/; the success page confirms delivery and links back to the form.</x:v>
      </x:c>
      <x:c r="F16" s="12" t="str">
        <x:v>contact/index.md; contact-success/index.md</x:v>
      </x:c>
      <x:c r="G16" s="12" t="str">
        <x:v>Pass</x:v>
      </x:c>
      <x:c r="H16" s="12" t="str"/>
      <x:c r="I16" s="12" t="str"/>
      <x:c r="J16" s="12" t="str">
        <x:v>Not Needed</x:v>
      </x:c>
      <x:c r="K16" s="12" t="str"/>
      <x:c r="L16" s="12" t="str">
        <x:v>Pass</x:v>
      </x:c>
      <x:c r="M16" s="13" t="str">
        <x:v>End-to-end browser flow verified on the current build through a local mock POST target that preserves the site form markup and redirects to /contact-success/ without sending external data.</x:v>
      </x:c>
    </x:row>
    <x:row r="17">
      <x:c r="A17" s="11" t="str">
        <x:v>F-016</x:v>
      </x:c>
      <x:c r="B17" s="12" t="str">
        <x:v>404 Recovery</x:v>
      </x:c>
      <x:c r="C17" s="12" t="str">
        <x:v>/this-route-should-not-exist</x:v>
      </x:c>
      <x:c r="D17" s="12" t="str">
        <x:v>As a visitor who follows a bad link, I get a recovery page instead of a blank or confusing error.</x:v>
      </x:c>
      <x:c r="E17" s="12" t="str">
        <x:v>The 404 page renders a plain apology message and a working recovery contact or navigation path.</x:v>
      </x:c>
      <x:c r="F17" s="12" t="str">
        <x:v>404.html; _layouts/page.html</x:v>
      </x:c>
      <x:c r="G17" s="12" t="str">
        <x:v>Pass</x:v>
      </x:c>
      <x:c r="H17" s="12" t="str">
        <x:v>The 404 page originally rendered mailto:?subject=Page%20not%20found because site.email is unset. It now routes users to Contact and Home instead.</x:v>
      </x:c>
      <x:c r="I17" s="12" t="str">
        <x:v>High</x:v>
      </x:c>
      <x:c r="J17" s="12" t="str">
        <x:v>Fixed</x:v>
      </x:c>
      <x:c r="K17" s="12" t="str">
        <x:v>105d3f4</x:v>
      </x:c>
      <x:c r="L17" s="12" t="str">
        <x:v>Pass</x:v>
      </x:c>
      <x:c r="M17" s="13" t="str">
        <x:v>Retest confirmed both recovery links render correctly on /404.html.</x:v>
      </x:c>
    </x:row>
    <x:row r="18">
      <x:c r="A18" s="11" t="str">
        <x:v>F-017</x:v>
      </x:c>
      <x:c r="B18" s="12" t="str">
        <x:v>Metadata and SEO</x:v>
      </x:c>
      <x:c r="C18" s="12" t="str">
        <x:v>/; /granola/; /posts/</x:v>
      </x:c>
      <x:c r="D18" s="12" t="str">
        <x:v>As a visitor or crawler, I receive correct titles, descriptions, canonical URLs, and social metadata for each page type.</x:v>
      </x:c>
      <x:c r="E18" s="12" t="str">
        <x:v>Head tags are populated from page or site data for title, description, keywords, canonical, robots, Twitter, Open Graph, and JSON-LD; feed, sitemap, and llms links are present.</x:v>
      </x:c>
      <x:c r="F18" s="12" t="str">
        <x:v>_includes/head.html; _config.yml</x:v>
      </x:c>
      <x:c r="G18" s="12" t="str">
        <x:v>Pass</x:v>
      </x:c>
      <x:c r="H18" s="12" t="str"/>
      <x:c r="I18" s="12" t="str"/>
      <x:c r="J18" s="12" t="str">
        <x:v>Not Needed</x:v>
      </x:c>
      <x:c r="K18" s="12" t="str"/>
      <x:c r="L18" s="12" t="str">
        <x:v>Pass</x:v>
      </x:c>
      <x:c r="M18" s="13" t="str">
        <x:v>Canonical, description, and social metadata matched tested routes.</x:v>
      </x:c>
    </x:row>
    <x:row r="19">
      <x:c r="A19" s="11" t="str">
        <x:v>F-018</x:v>
      </x:c>
      <x:c r="B19" s="12" t="str">
        <x:v>Comments Toggle</x:v>
      </x:c>
      <x:c r="C19" s="12" t="str">
        <x:v>/os-ordinals-devem-ser-banidos-da-blockchain-do-bitcoin-o-que-dizem-os-especialistas/</x:v>
      </x:c>
      <x:c r="D19" s="12" t="str">
        <x:v>As a reader, I only see a comments area on the small subset of pages that explicitly enable comments.</x:v>
      </x:c>
      <x:c r="E19" s="12" t="str">
        <x:v>The Disqus thread container and embed scripts load only when page.comments is true; pages with comments false do not render the thread block.</x:v>
      </x:c>
      <x:c r="F19" s="12" t="str">
        <x:v>_layouts/page.html; _layouts/post.html; _includes/scripts.html; _includes/disqus_comments.html</x:v>
      </x:c>
      <x:c r="G19" s="12" t="str">
        <x:v>Pass</x:v>
      </x:c>
      <x:c r="H19" s="12" t="str"/>
      <x:c r="I19" s="12" t="str"/>
      <x:c r="J19" s="12" t="str">
        <x:v>Not Needed</x:v>
      </x:c>
      <x:c r="K19" s="12" t="str"/>
      <x:c r="L19" s="12" t="str">
        <x:v>Pass</x:v>
      </x:c>
      <x:c r="M19" s="13" t="str">
        <x:v>Confirmed the comments-enabled route /ordinals-devem-ser-banidos/ renders the Disqus container and scripts.</x:v>
      </x:c>
    </x:row>
    <x:row r="20">
      <x:c r="A20" s="11" t="str">
        <x:v>F-019</x:v>
      </x:c>
      <x:c r="B20" s="12" t="str">
        <x:v>Image Lightbox</x:v>
      </x:c>
      <x:c r="C20" s="12" t="str">
        <x:v>/nao-existem-atalhos-para-uma-criptomoeda-de-preco-estavel/</x:v>
      </x:c>
      <x:c r="D20" s="12" t="str">
        <x:v>As a reader, I can open linked image assets in an overlay gallery instead of leaving the page.</x:v>
      </x:c>
      <x:c r="E20" s="12" t="str">
        <x:v>Anchor tags that directly target JPG, JPEG, PNG, or GIF assets receive the image-popup class and open in the Magnific Popup gallery.</x:v>
      </x:c>
      <x:c r="F20" s="12" t="str">
        <x:v>assets/js/scripts.js</x:v>
      </x:c>
      <x:c r="G20" s="12" t="str">
        <x:v>Pass</x:v>
      </x:c>
      <x:c r="H20" s="12" t="str"/>
      <x:c r="I20" s="12" t="str"/>
      <x:c r="J20" s="12" t="str">
        <x:v>Not Needed</x:v>
      </x:c>
      <x:c r="K20" s="12" t="str"/>
      <x:c r="L20" s="12" t="str">
        <x:v>Pass</x:v>
      </x:c>
      <x:c r="M20" s="13" t="str">
        <x:v>Verified with a local fixture page that uses the site JS and a linked PNG asset; the anchor received image-popup and opened a visible Magnific Popup overlay.</x:v>
      </x:c>
    </x:row>
    <x:row r="21">
      <x:c r="A21" s="11" t="str">
        <x:v>F-020</x:v>
      </x:c>
      <x:c r="B21" s="12" t="str">
        <x:v>Motion and Scroll Enhancements</x:v>
      </x:c>
      <x:c r="C21" s="12" t="str">
        <x:v>/articles/</x:v>
      </x:c>
      <x:c r="D21" s="12" t="str">
        <x:v>As a visitor, I get a small amount of navigation and scrolling polish without losing usability.</x:v>
      </x:c>
      <x:c r="E21" s="12" t="str">
        <x:v>Archive items animate in with WOW.js, clicking zoombtn links triggers a fade transition class swap, and a Go Up button appears after scrolling past the trigger point.</x:v>
      </x:c>
      <x:c r="F21" s="12" t="str">
        <x:v>assets/js/scripts.js; _layouts/post-list.html; _layouts/home.html; _layouts/page.html; _layouts/post.html</x:v>
      </x:c>
      <x:c r="G21" s="12" t="str">
        <x:v>Pass</x:v>
      </x:c>
      <x:c r="H21" s="12" t="str"/>
      <x:c r="I21" s="12" t="str"/>
      <x:c r="J21" s="12" t="str">
        <x:v>Not Needed</x:v>
      </x:c>
      <x:c r="K21" s="12" t="str"/>
      <x:c r="L21" s="12" t="str">
        <x:v>Pass</x:v>
      </x:c>
      <x:c r="M21" s="13" t="str">
        <x:v>WOW classes were present on archive items and the Go Up container became visible after scrolling.</x:v>
      </x:c>
    </x:row>
    <x:row r="22">
      <x:c r="A22" s="11" t="str">
        <x:v>F-021</x:v>
      </x:c>
      <x:c r="B22" s="12" t="str">
        <x:v>Machine-readable Outputs</x:v>
      </x:c>
      <x:c r="C22" s="12" t="str">
        <x:v>/feed.xml; /sitemap.xml; /llms.txt</x:v>
      </x:c>
      <x:c r="D22" s="12" t="str">
        <x:v>As a reader or crawler using feed and machine-readable endpoints, I can access the site's published discovery files.</x:v>
      </x:c>
      <x:c r="E22" s="12" t="str">
        <x:v>The site publishes feed.xml, sitemap.xml, and llms.txt, and links to those outputs from the page head where configured.</x:v>
      </x:c>
      <x:c r="F22" s="12" t="str">
        <x:v>_includes/head.html; README.md; scripts/build-llms-ctx-full.rb</x:v>
      </x:c>
      <x:c r="G22" s="12" t="str">
        <x:v>Pass</x:v>
      </x:c>
      <x:c r="H22" s="12" t="str"/>
      <x:c r="I22" s="12" t="str"/>
      <x:c r="J22" s="12" t="str">
        <x:v>Not Needed</x:v>
      </x:c>
      <x:c r="K22" s="12" t="str"/>
      <x:c r="L22" s="12" t="str">
        <x:v>Pass</x:v>
      </x:c>
      <x:c r="M22" s="13" t="str">
        <x:v>Direct checks returned HTTP 200 for /feed.xml, /sitemap.xml, and /llms.txt.</x:v>
      </x:c>
    </x:row>
    <x:row r="23">
      <x:c r="A23" s="11" t="str">
        <x:v>F-022</x:v>
      </x:c>
      <x:c r="B23" s="12" t="str">
        <x:v>Math Rendering</x:v>
      </x:c>
      <x:c r="C23" s="12" t="str">
        <x:v>/os-7-fundamentos-do-maximalismo-do-bitcoin/</x:v>
      </x:c>
      <x:c r="D23" s="12" t="str">
        <x:v>As a reader on a math-heavy post, I can read equations rendered as math instead of raw TeX syntax.</x:v>
      </x:c>
      <x:c r="E23" s="12" t="str">
        <x:v>Pages load the MathJax script when site.mathjax is enabled, and math expressions are transformed from raw source syntax into rendered output.</x:v>
      </x:c>
      <x:c r="F23" s="12" t="str">
        <x:v>_layouts/post.html; _layouts/page.html; _config.yml; _posts/2023-05-26-os-7-fundamentos-do-maximalismo-do-bitcoin.md</x:v>
      </x:c>
      <x:c r="G23" s="12" t="str">
        <x:v>Pass</x:v>
      </x:c>
      <x:c r="H23" s="12" t="str"/>
      <x:c r="I23" s="12" t="str"/>
      <x:c r="J23" s="12" t="str">
        <x:v>Not Needed</x:v>
      </x:c>
      <x:c r="K23" s="12" t="str"/>
      <x:c r="L23" s="12" t="str">
        <x:v>Pass</x:v>
      </x:c>
      <x:c r="M23" s="13" t="str">
        <x:v>Retest confirmed the MathJax script is present on the post route and the raw inline TeX sequence is no longer visible in page text.</x:v>
      </x:c>
    </x:row>
    <x:row r="24">
      <x:c r="A24" s="14" t="str">
        <x:v>F-023</x:v>
      </x:c>
      <x:c r="B24" s="15" t="str">
        <x:v>X/Twitter Embeds</x:v>
      </x:c>
      <x:c r="C24" s="15" t="str">
        <x:v>/twitter-fixture.html</x:v>
      </x:c>
      <x:c r="D24" s="15" t="str">
        <x:v>As a reader on a page that embeds a tweet, I can see the embedded post render instead of only a plain blockquote fallback.</x:v>
      </x:c>
      <x:c r="E24" s="15" t="str">
        <x:v>The site loads widgets.js and blockquote.twitter-tweet content hydrates into an embedded widget iframe when the page contains a tweet embed.</x:v>
      </x:c>
      <x:c r="F24" s="15" t="str">
        <x:v>_includes/scripts.html</x:v>
      </x:c>
      <x:c r="G24" s="15" t="str">
        <x:v>Pass</x:v>
      </x:c>
      <x:c r="H24" s="15" t="str"/>
      <x:c r="I24" s="15" t="str"/>
      <x:c r="J24" s="15" t="str">
        <x:v>Not Needed</x:v>
      </x:c>
      <x:c r="K24" s="15" t="str"/>
      <x:c r="L24" s="15" t="str">
        <x:v>Pass</x:v>
      </x:c>
      <x:c r="M24" s="16" t="str">
        <x:v>Verified with a local fixture page that loads the site scripts plus widgets.js; the page rendered a Twitter widget iframe.</x:v>
      </x:c>
    </x:row>
  </x:sheetData>
  <x:conditionalFormatting sqref="G2:G24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J2:J24">
    <x:cfRule type="containsText" dxfId="3" priority="4" operator="containsText" text="Fixed"/>
    <x:cfRule type="containsText" dxfId="4" priority="5" operator="containsText" text="Pending"/>
    <x:cfRule type="containsText" dxfId="5" priority="6" operator="containsText" text="Blocked"/>
  </x:conditionalFormatting>
  <x:conditionalFormatting sqref="L2:L24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Blocked"/>
  </x:conditionalFormatting>
  <x:dataValidations count="4">
    <x:dataValidation type="list" sqref="G2:G24">
      <x:formula1>"Not Tested,Pass,Fail,Blocked"</x:formula1>
    </x:dataValidation>
    <x:dataValidation type="list" sqref="I2:I24">
      <x:formula1>",Low,Medium,High"</x:formula1>
    </x:dataValidation>
    <x:dataValidation type="list" sqref="J2:J24">
      <x:formula1>"Not Needed Yet,Not Needed,Pending,Fixed,Blocked"</x:formula1>
    </x:dataValidation>
    <x:dataValidation type="list" sqref="L2:L24">
      <x:formula1>"Not Retested,Pass,Fail,Blocked"</x:formula1>
    </x:dataValidation>
  </x:dataValidations>
  <x:pageMargins left="0.7" right="0.7" top="0.75" bottom="0.75" header="0.3" footer="0.3"/>
</x:worksheet>
</file>